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6d\AC\Temp\"/>
    </mc:Choice>
  </mc:AlternateContent>
  <xr:revisionPtr revIDLastSave="0" documentId="8_{2F85EEC8-3414-4047-BD10-82BA1F07877E}" xr6:coauthVersionLast="47" xr6:coauthVersionMax="47" xr10:uidLastSave="{00000000-0000-0000-0000-000000000000}"/>
  <bookViews>
    <workbookView xWindow="-60" yWindow="-60" windowWidth="15480" windowHeight="11640" xr2:uid="{13A7C082-74D9-4B72-ABE4-0AA822FF4CB6}"/>
  </bookViews>
  <sheets>
    <sheet name="beauty products " sheetId="1" r:id="rId1"/>
  </sheets>
  <definedNames>
    <definedName name="_xlnm._FilterDatabase" localSheetId="0" hidden="1">'beauty products '!$A$1:$S$12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L16" i="1"/>
  <c r="K19" i="1"/>
  <c r="K17" i="1"/>
  <c r="K16" i="1"/>
  <c r="P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K18" i="1"/>
</calcChain>
</file>

<file path=xl/sharedStrings.xml><?xml version="1.0" encoding="utf-8"?>
<sst xmlns="http://schemas.openxmlformats.org/spreadsheetml/2006/main" count="65" uniqueCount="40">
  <si>
    <t>Product</t>
  </si>
  <si>
    <t>Returns</t>
  </si>
  <si>
    <t>Unit Price</t>
  </si>
  <si>
    <t>Total Sales</t>
  </si>
  <si>
    <t>Net Revenue</t>
  </si>
  <si>
    <t>loss($)</t>
  </si>
  <si>
    <t>Net Profit</t>
  </si>
  <si>
    <t xml:space="preserve">lipstick </t>
  </si>
  <si>
    <t xml:space="preserve">Cetaphil moisturizing </t>
  </si>
  <si>
    <t>lipbalm</t>
  </si>
  <si>
    <t xml:space="preserve">Sunscreen </t>
  </si>
  <si>
    <t>lipliner</t>
  </si>
  <si>
    <t>Sebamed  body Wash</t>
  </si>
  <si>
    <t xml:space="preserve">Sebamed  lotion </t>
  </si>
  <si>
    <t xml:space="preserve">Cetaphil lotion </t>
  </si>
  <si>
    <t>shampoo</t>
  </si>
  <si>
    <t xml:space="preserve">Total </t>
  </si>
  <si>
    <t>Date</t>
  </si>
  <si>
    <t>5.5.25</t>
  </si>
  <si>
    <t xml:space="preserve">5.5.25 </t>
  </si>
  <si>
    <t>6.5.25</t>
  </si>
  <si>
    <t>7.5.25</t>
  </si>
  <si>
    <t>4.5.25</t>
  </si>
  <si>
    <t xml:space="preserve">buyer's </t>
  </si>
  <si>
    <t>items sold</t>
  </si>
  <si>
    <t xml:space="preserve">items sold </t>
  </si>
  <si>
    <t xml:space="preserve">Net Revenue </t>
  </si>
  <si>
    <t xml:space="preserve">loss </t>
  </si>
  <si>
    <t>5.5.26</t>
  </si>
  <si>
    <t>6.5.26</t>
  </si>
  <si>
    <t>7.5.26</t>
  </si>
  <si>
    <t>4.5.26</t>
  </si>
  <si>
    <t xml:space="preserve">total sales </t>
  </si>
  <si>
    <t>net revenue</t>
  </si>
  <si>
    <t xml:space="preserve">profits </t>
  </si>
  <si>
    <t>loss</t>
  </si>
  <si>
    <t xml:space="preserve">difference </t>
  </si>
  <si>
    <t>%</t>
  </si>
  <si>
    <t xml:space="preserve">2026 Sales Analysis </t>
  </si>
  <si>
    <t xml:space="preserve">2025 Sales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</si>
</sst>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'beauty products '!$K$41:$K$55</c:f>
              <c:strCache>
                <c:ptCount val="4"/>
                <c:pt idx="0">
                  <c:v>total sales </c:v>
                </c:pt>
                <c:pt idx="1">
                  <c:v>net revenue</c:v>
                </c:pt>
                <c:pt idx="2">
                  <c:v>profits </c:v>
                </c:pt>
                <c:pt idx="3">
                  <c:v>loss</c:v>
                </c:pt>
              </c:strCache>
            </c:strRef>
          </c:cat>
          <c:val>
            <c:numRef>
              <c:f>'beauty products '!$L$41:$L$55</c:f>
              <c:numCache>
                <c:formatCode>General</c:formatCode>
                <c:ptCount val="15"/>
                <c:pt idx="0">
                  <c:v>17320</c:v>
                </c:pt>
                <c:pt idx="1">
                  <c:v>3840</c:v>
                </c:pt>
                <c:pt idx="2">
                  <c:v>2800</c:v>
                </c:pt>
                <c:pt idx="3">
                  <c:v>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4-EC4C-87BB-532A33A47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424639"/>
        <c:axId val="166426431"/>
      </c:barChart>
      <c:catAx>
        <c:axId val="166424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6431"/>
        <c:crosses val="autoZero"/>
        <c:auto val="1"/>
        <c:lblAlgn val="ctr"/>
        <c:lblOffset val="100"/>
        <c:noMultiLvlLbl val="0"/>
      </c:catAx>
      <c:valAx>
        <c:axId val="166426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'beauty products '!$H$41:$H$45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F-7049-84EC-C4CF120A4FE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'beauty products '!$I$41:$I$45</c:f>
              <c:numCache>
                <c:formatCode>General</c:formatCode>
                <c:ptCount val="5"/>
                <c:pt idx="0">
                  <c:v>10840</c:v>
                </c:pt>
                <c:pt idx="1">
                  <c:v>2150</c:v>
                </c:pt>
                <c:pt idx="2">
                  <c:v>350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F-7049-84EC-C4CF120A4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736960"/>
        <c:axId val="1283738752"/>
      </c:barChart>
      <c:catAx>
        <c:axId val="12837369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38752"/>
        <c:crosses val="autoZero"/>
        <c:auto val="1"/>
        <c:lblAlgn val="ctr"/>
        <c:lblOffset val="100"/>
        <c:noMultiLvlLbl val="0"/>
      </c:catAx>
      <c:valAx>
        <c:axId val="12837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73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266192</xdr:colOff>
      <xdr:row>45</xdr:row>
      <xdr:rowOff>20320</xdr:rowOff>
    </xdr:from>
    <xdr:to>
      <xdr:col>13</xdr:col>
      <xdr:colOff>130048</xdr:colOff>
      <xdr:row>57</xdr:row>
      <xdr:rowOff>71120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0553C-B395-83A1-55CD-EA0A03B6E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144791</xdr:colOff>
      <xdr:row>46</xdr:row>
      <xdr:rowOff>59474</xdr:rowOff>
    </xdr:from>
    <xdr:to>
      <xdr:col>8</xdr:col>
      <xdr:colOff>574908</xdr:colOff>
      <xdr:row>55</xdr:row>
      <xdr:rowOff>163552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69C557-05FF-6BBD-52FF-970DE71A0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A96E-8F3A-4060-A152-F5CDBE5B2EAC}">
  <dimension ref="A1:S58"/>
  <sheetViews>
    <sheetView tabSelected="1" topLeftCell="G19" workbookViewId="0">
      <selection activeCell="H41" sqref="H41:I45"/>
    </sheetView>
  </sheetViews>
  <sheetFormatPr defaultRowHeight="15" x14ac:dyDescent="0.2"/>
  <cols>
    <col min="1" max="1" width="21.25390625" customWidth="1"/>
    <col min="4" max="5" width="11.8359375" customWidth="1"/>
    <col min="7" max="7" width="12.10546875" customWidth="1"/>
    <col min="8" max="8" width="13.98828125" customWidth="1"/>
    <col min="10" max="10" width="11.02734375" customWidth="1"/>
    <col min="11" max="11" width="11.56640625" customWidth="1"/>
    <col min="12" max="12" width="12.9140625" customWidth="1"/>
    <col min="13" max="13" width="13.98828125" customWidth="1"/>
    <col min="14" max="14" width="8.33984375" customWidth="1"/>
    <col min="15" max="15" width="10.22265625" customWidth="1"/>
    <col min="16" max="16" width="12.64453125" customWidth="1"/>
    <col min="17" max="17" width="13.98828125" customWidth="1"/>
    <col min="18" max="18" width="10.4921875" customWidth="1"/>
  </cols>
  <sheetData>
    <row r="1" spans="1:19" x14ac:dyDescent="0.2">
      <c r="B1">
        <v>2025</v>
      </c>
      <c r="C1">
        <v>2026</v>
      </c>
      <c r="D1">
        <v>2025</v>
      </c>
      <c r="E1">
        <v>2026</v>
      </c>
      <c r="F1">
        <v>2025</v>
      </c>
      <c r="G1">
        <v>2026</v>
      </c>
      <c r="H1">
        <v>2025</v>
      </c>
      <c r="I1">
        <v>2026</v>
      </c>
      <c r="J1">
        <v>2025</v>
      </c>
      <c r="K1">
        <v>2026</v>
      </c>
      <c r="L1">
        <v>2025</v>
      </c>
      <c r="M1">
        <v>2026</v>
      </c>
      <c r="N1">
        <v>2025</v>
      </c>
      <c r="O1">
        <v>2026</v>
      </c>
      <c r="P1">
        <v>2025</v>
      </c>
      <c r="Q1">
        <v>2026</v>
      </c>
    </row>
    <row r="2" spans="1:19" x14ac:dyDescent="0.2">
      <c r="A2" t="s">
        <v>0</v>
      </c>
      <c r="B2" t="s">
        <v>23</v>
      </c>
      <c r="C2" t="s">
        <v>23</v>
      </c>
      <c r="D2" t="s">
        <v>24</v>
      </c>
      <c r="E2" t="s">
        <v>25</v>
      </c>
      <c r="F2" t="s">
        <v>1</v>
      </c>
      <c r="G2" t="s">
        <v>1</v>
      </c>
      <c r="H2" t="s">
        <v>2</v>
      </c>
      <c r="I2" t="s">
        <v>2</v>
      </c>
      <c r="J2" t="s">
        <v>3</v>
      </c>
      <c r="K2" t="s">
        <v>3</v>
      </c>
      <c r="L2" t="s">
        <v>4</v>
      </c>
      <c r="M2" t="s">
        <v>26</v>
      </c>
      <c r="N2" t="s">
        <v>5</v>
      </c>
      <c r="O2" t="s">
        <v>27</v>
      </c>
      <c r="P2" t="s">
        <v>6</v>
      </c>
      <c r="Q2" t="s">
        <v>6</v>
      </c>
      <c r="R2" t="s">
        <v>17</v>
      </c>
      <c r="S2" t="s">
        <v>17</v>
      </c>
    </row>
    <row r="3" spans="1:19" x14ac:dyDescent="0.2">
      <c r="A3" t="s">
        <v>7</v>
      </c>
      <c r="B3">
        <v>1</v>
      </c>
      <c r="C3">
        <v>2</v>
      </c>
      <c r="D3">
        <v>1</v>
      </c>
      <c r="E3">
        <v>2</v>
      </c>
      <c r="F3">
        <v>0</v>
      </c>
      <c r="G3">
        <v>0</v>
      </c>
      <c r="H3">
        <v>100</v>
      </c>
      <c r="I3">
        <v>150</v>
      </c>
      <c r="J3">
        <v>100</v>
      </c>
      <c r="K3">
        <v>300</v>
      </c>
      <c r="L3">
        <v>100</v>
      </c>
      <c r="M3">
        <v>150</v>
      </c>
      <c r="N3">
        <v>0</v>
      </c>
      <c r="O3">
        <v>0</v>
      </c>
      <c r="P3">
        <v>100</v>
      </c>
      <c r="Q3">
        <v>150</v>
      </c>
      <c r="R3" t="s">
        <v>19</v>
      </c>
      <c r="S3" t="s">
        <v>28</v>
      </c>
    </row>
    <row r="4" spans="1:19" x14ac:dyDescent="0.2">
      <c r="A4" t="s">
        <v>8</v>
      </c>
      <c r="B4">
        <v>3</v>
      </c>
      <c r="C4">
        <v>3</v>
      </c>
      <c r="D4">
        <v>5</v>
      </c>
      <c r="E4">
        <v>10</v>
      </c>
      <c r="F4">
        <v>1</v>
      </c>
      <c r="G4">
        <v>1</v>
      </c>
      <c r="H4">
        <v>760</v>
      </c>
      <c r="I4">
        <v>760</v>
      </c>
      <c r="J4">
        <v>1520</v>
      </c>
      <c r="K4">
        <v>7600</v>
      </c>
      <c r="L4">
        <v>0</v>
      </c>
      <c r="M4">
        <v>1520</v>
      </c>
      <c r="N4">
        <v>760</v>
      </c>
      <c r="O4">
        <v>0</v>
      </c>
      <c r="P4">
        <v>-760</v>
      </c>
      <c r="Q4">
        <v>1520</v>
      </c>
      <c r="R4" t="s">
        <v>18</v>
      </c>
      <c r="S4" t="s">
        <v>28</v>
      </c>
    </row>
    <row r="5" spans="1:19" x14ac:dyDescent="0.2">
      <c r="A5" t="s">
        <v>9</v>
      </c>
      <c r="B5">
        <v>2</v>
      </c>
      <c r="C5">
        <v>2</v>
      </c>
      <c r="D5">
        <v>2</v>
      </c>
      <c r="E5">
        <v>2</v>
      </c>
      <c r="F5">
        <v>0</v>
      </c>
      <c r="G5">
        <v>1</v>
      </c>
      <c r="H5">
        <v>100</v>
      </c>
      <c r="I5">
        <v>100</v>
      </c>
      <c r="J5">
        <v>200</v>
      </c>
      <c r="K5">
        <v>200</v>
      </c>
      <c r="L5">
        <v>100</v>
      </c>
      <c r="M5">
        <v>100</v>
      </c>
      <c r="N5">
        <v>0</v>
      </c>
      <c r="O5">
        <v>0</v>
      </c>
      <c r="P5">
        <v>100</v>
      </c>
      <c r="Q5">
        <v>100</v>
      </c>
      <c r="R5" t="s">
        <v>20</v>
      </c>
      <c r="S5" t="s">
        <v>29</v>
      </c>
    </row>
    <row r="6" spans="1:19" x14ac:dyDescent="0.2">
      <c r="A6" t="s">
        <v>10</v>
      </c>
      <c r="B6">
        <v>2</v>
      </c>
      <c r="C6">
        <v>3</v>
      </c>
      <c r="D6">
        <v>2</v>
      </c>
      <c r="E6">
        <v>2</v>
      </c>
      <c r="F6">
        <v>0</v>
      </c>
      <c r="G6">
        <v>0</v>
      </c>
      <c r="H6">
        <v>600</v>
      </c>
      <c r="I6">
        <v>600</v>
      </c>
      <c r="J6">
        <v>1200</v>
      </c>
      <c r="K6">
        <v>1200</v>
      </c>
      <c r="L6">
        <v>600</v>
      </c>
      <c r="M6">
        <v>600</v>
      </c>
      <c r="N6">
        <v>0</v>
      </c>
      <c r="O6">
        <v>0</v>
      </c>
      <c r="P6">
        <v>600</v>
      </c>
      <c r="Q6">
        <v>600</v>
      </c>
      <c r="R6" t="s">
        <v>20</v>
      </c>
      <c r="S6" t="s">
        <v>29</v>
      </c>
    </row>
    <row r="7" spans="1:19" x14ac:dyDescent="0.2">
      <c r="A7" t="s">
        <v>11</v>
      </c>
      <c r="B7">
        <v>2</v>
      </c>
      <c r="C7">
        <v>2</v>
      </c>
      <c r="D7">
        <v>2</v>
      </c>
      <c r="E7">
        <v>2</v>
      </c>
      <c r="F7">
        <v>0</v>
      </c>
      <c r="G7">
        <v>0</v>
      </c>
      <c r="H7">
        <v>250</v>
      </c>
      <c r="I7">
        <v>350</v>
      </c>
      <c r="J7">
        <v>500</v>
      </c>
      <c r="K7">
        <v>700</v>
      </c>
      <c r="L7">
        <v>250</v>
      </c>
      <c r="M7">
        <v>350</v>
      </c>
      <c r="N7">
        <v>0</v>
      </c>
      <c r="O7">
        <v>0</v>
      </c>
      <c r="P7">
        <v>250</v>
      </c>
      <c r="Q7">
        <v>350</v>
      </c>
      <c r="R7" t="s">
        <v>20</v>
      </c>
      <c r="S7" t="s">
        <v>29</v>
      </c>
    </row>
    <row r="8" spans="1:19" x14ac:dyDescent="0.2">
      <c r="A8" t="s">
        <v>12</v>
      </c>
      <c r="B8">
        <v>4</v>
      </c>
      <c r="C8">
        <v>4</v>
      </c>
      <c r="D8">
        <v>2</v>
      </c>
      <c r="E8">
        <v>2</v>
      </c>
      <c r="F8">
        <v>0</v>
      </c>
      <c r="G8">
        <v>0</v>
      </c>
      <c r="H8">
        <v>540</v>
      </c>
      <c r="I8">
        <v>540</v>
      </c>
      <c r="J8">
        <v>1080</v>
      </c>
      <c r="K8">
        <v>1080</v>
      </c>
      <c r="L8">
        <v>540</v>
      </c>
      <c r="M8">
        <v>560</v>
      </c>
      <c r="N8">
        <v>0</v>
      </c>
      <c r="O8">
        <v>0</v>
      </c>
      <c r="P8">
        <v>540</v>
      </c>
      <c r="Q8">
        <v>560</v>
      </c>
      <c r="R8" t="s">
        <v>21</v>
      </c>
      <c r="S8" t="s">
        <v>30</v>
      </c>
    </row>
    <row r="9" spans="1:19" x14ac:dyDescent="0.2">
      <c r="A9" t="s">
        <v>13</v>
      </c>
      <c r="B9">
        <v>4</v>
      </c>
      <c r="C9">
        <v>4</v>
      </c>
      <c r="D9">
        <v>3</v>
      </c>
      <c r="E9">
        <v>3</v>
      </c>
      <c r="F9">
        <v>1</v>
      </c>
      <c r="G9">
        <v>1</v>
      </c>
      <c r="H9">
        <v>540</v>
      </c>
      <c r="I9">
        <v>540</v>
      </c>
      <c r="J9">
        <v>1620</v>
      </c>
      <c r="K9">
        <v>1620</v>
      </c>
      <c r="L9">
        <v>0</v>
      </c>
      <c r="M9">
        <v>0</v>
      </c>
      <c r="N9">
        <v>540</v>
      </c>
      <c r="O9">
        <v>540</v>
      </c>
      <c r="P9">
        <v>-540</v>
      </c>
      <c r="Q9">
        <v>-540</v>
      </c>
      <c r="R9" t="s">
        <v>21</v>
      </c>
      <c r="S9" t="s">
        <v>30</v>
      </c>
    </row>
    <row r="10" spans="1:19" x14ac:dyDescent="0.2">
      <c r="A10" t="s">
        <v>14</v>
      </c>
      <c r="B10">
        <v>5</v>
      </c>
      <c r="C10">
        <v>5</v>
      </c>
      <c r="D10">
        <v>2</v>
      </c>
      <c r="E10">
        <v>2</v>
      </c>
      <c r="F10">
        <v>0</v>
      </c>
      <c r="G10">
        <v>0</v>
      </c>
      <c r="H10">
        <v>560</v>
      </c>
      <c r="I10">
        <v>560</v>
      </c>
      <c r="J10">
        <v>1120</v>
      </c>
      <c r="K10">
        <v>1120</v>
      </c>
      <c r="L10">
        <v>560</v>
      </c>
      <c r="M10">
        <v>560</v>
      </c>
      <c r="N10">
        <v>0</v>
      </c>
      <c r="O10">
        <v>0</v>
      </c>
      <c r="P10">
        <v>560</v>
      </c>
      <c r="Q10">
        <v>560</v>
      </c>
      <c r="R10" t="s">
        <v>22</v>
      </c>
      <c r="S10" t="s">
        <v>31</v>
      </c>
    </row>
    <row r="11" spans="1:19" x14ac:dyDescent="0.2">
      <c r="A11" t="s">
        <v>15</v>
      </c>
      <c r="B11">
        <v>6</v>
      </c>
      <c r="C11">
        <v>6</v>
      </c>
      <c r="D11">
        <v>2</v>
      </c>
      <c r="E11">
        <v>2</v>
      </c>
      <c r="F11">
        <v>1</v>
      </c>
      <c r="G11">
        <v>1</v>
      </c>
      <c r="H11">
        <v>500</v>
      </c>
      <c r="I11">
        <v>500</v>
      </c>
      <c r="J11">
        <v>3500</v>
      </c>
      <c r="K11">
        <v>3500</v>
      </c>
      <c r="L11">
        <v>0</v>
      </c>
      <c r="M11">
        <v>0</v>
      </c>
      <c r="N11">
        <v>500</v>
      </c>
      <c r="O11">
        <v>500</v>
      </c>
      <c r="P11">
        <v>-500</v>
      </c>
      <c r="Q11">
        <v>-500</v>
      </c>
      <c r="R11" t="s">
        <v>22</v>
      </c>
      <c r="S11" t="s">
        <v>31</v>
      </c>
    </row>
    <row r="12" spans="1:19" x14ac:dyDescent="0.2">
      <c r="A12" t="s">
        <v>16</v>
      </c>
      <c r="B12">
        <f>SUM(B3:B11)</f>
        <v>29</v>
      </c>
      <c r="C12">
        <f>SUM(C3:C11)</f>
        <v>31</v>
      </c>
      <c r="D12">
        <f>SUM(D3:D11)</f>
        <v>21</v>
      </c>
      <c r="E12">
        <f>SUM(E3:E11)</f>
        <v>27</v>
      </c>
      <c r="F12">
        <f>SUM(F3:F11)</f>
        <v>3</v>
      </c>
      <c r="G12">
        <f>SUM(G3:G11)</f>
        <v>4</v>
      </c>
      <c r="H12">
        <f>SUM(H3:H11)</f>
        <v>3950</v>
      </c>
      <c r="I12">
        <f>SUM(I3:I11)</f>
        <v>4100</v>
      </c>
      <c r="J12">
        <f>SUM(J3:J11)</f>
        <v>10840</v>
      </c>
      <c r="K12">
        <f>SUM(K3:K11)</f>
        <v>17320</v>
      </c>
      <c r="L12">
        <f>SUM(L3:L11)</f>
        <v>2150</v>
      </c>
      <c r="M12">
        <f>SUM(M3:M11)</f>
        <v>3840</v>
      </c>
      <c r="N12">
        <f>SUM(N3:N11)</f>
        <v>1800</v>
      </c>
      <c r="O12">
        <v>1040</v>
      </c>
      <c r="P12">
        <f>SUM(P3:P11)</f>
        <v>350</v>
      </c>
      <c r="Q12">
        <v>2800</v>
      </c>
      <c r="R12" t="s">
        <v>20</v>
      </c>
      <c r="S12" t="s">
        <v>29</v>
      </c>
    </row>
    <row r="15" spans="1:19" x14ac:dyDescent="0.2">
      <c r="I15">
        <v>2026</v>
      </c>
      <c r="J15">
        <v>2025</v>
      </c>
      <c r="K15" t="s">
        <v>36</v>
      </c>
      <c r="L15" t="s">
        <v>37</v>
      </c>
    </row>
    <row r="16" spans="1:19" x14ac:dyDescent="0.2">
      <c r="H16" t="s">
        <v>32</v>
      </c>
      <c r="I16">
        <v>17320</v>
      </c>
      <c r="J16">
        <v>10840</v>
      </c>
      <c r="K16">
        <f>SUM(I16-J16)</f>
        <v>6480</v>
      </c>
      <c r="L16">
        <f>SUM(I16-J16)/10840*100</f>
        <v>59.778597785977858</v>
      </c>
    </row>
    <row r="17" spans="8:12" x14ac:dyDescent="0.2">
      <c r="H17" t="s">
        <v>33</v>
      </c>
      <c r="I17">
        <v>3840</v>
      </c>
      <c r="J17">
        <v>2150</v>
      </c>
      <c r="K17">
        <f>SUM(I17-J17,)</f>
        <v>1690</v>
      </c>
      <c r="L17">
        <f>(3840 -2150)/2150*100</f>
        <v>78.604651162790702</v>
      </c>
    </row>
    <row r="18" spans="8:12" x14ac:dyDescent="0.2">
      <c r="H18" t="s">
        <v>34</v>
      </c>
      <c r="I18">
        <v>2800</v>
      </c>
      <c r="J18">
        <v>350</v>
      </c>
      <c r="K18">
        <f>SUM(I18-J18)</f>
        <v>2450</v>
      </c>
      <c r="L18">
        <f>(2800 -350)/350*100</f>
        <v>700</v>
      </c>
    </row>
    <row r="19" spans="8:12" x14ac:dyDescent="0.2">
      <c r="H19" t="s">
        <v>35</v>
      </c>
      <c r="I19">
        <v>1040</v>
      </c>
      <c r="J19">
        <v>1800</v>
      </c>
      <c r="K19">
        <f>SUM(I19-J19)</f>
        <v>-760</v>
      </c>
      <c r="L19">
        <f>(1040 -1800)/1800*100</f>
        <v>-42.222222222222221</v>
      </c>
    </row>
    <row r="40" spans="8:15" x14ac:dyDescent="0.2">
      <c r="H40" s="3" t="s">
        <v>39</v>
      </c>
      <c r="I40" s="3"/>
      <c r="K40" s="3" t="s">
        <v>38</v>
      </c>
      <c r="L40" s="3"/>
    </row>
    <row r="41" spans="8:15" x14ac:dyDescent="0.2">
      <c r="H41" t="s">
        <v>32</v>
      </c>
      <c r="I41">
        <v>10840</v>
      </c>
      <c r="K41" s="2" t="s">
        <v>32</v>
      </c>
      <c r="L41" s="2">
        <v>17320</v>
      </c>
    </row>
    <row r="42" spans="8:15" x14ac:dyDescent="0.2">
      <c r="H42" t="s">
        <v>33</v>
      </c>
      <c r="I42">
        <v>2150</v>
      </c>
      <c r="K42" s="2" t="s">
        <v>33</v>
      </c>
      <c r="L42" s="2">
        <v>3840</v>
      </c>
    </row>
    <row r="43" spans="8:15" x14ac:dyDescent="0.2">
      <c r="H43" t="s">
        <v>34</v>
      </c>
      <c r="I43">
        <v>350</v>
      </c>
      <c r="K43" s="2" t="s">
        <v>34</v>
      </c>
      <c r="L43" s="2">
        <v>2800</v>
      </c>
    </row>
    <row r="44" spans="8:15" x14ac:dyDescent="0.2">
      <c r="H44" t="s">
        <v>35</v>
      </c>
      <c r="I44">
        <v>1800</v>
      </c>
      <c r="K44" s="2" t="s">
        <v>35</v>
      </c>
      <c r="L44" s="2">
        <v>1040</v>
      </c>
    </row>
    <row r="45" spans="8:15" x14ac:dyDescent="0.2">
      <c r="M45" s="1"/>
      <c r="N45" s="1"/>
      <c r="O45" s="1"/>
    </row>
    <row r="46" spans="8:15" x14ac:dyDescent="0.2">
      <c r="H46" s="1"/>
      <c r="I46" s="1"/>
      <c r="J46" s="1"/>
      <c r="K46" s="1"/>
      <c r="M46" s="1"/>
      <c r="N46" s="1"/>
      <c r="O46" s="1"/>
    </row>
    <row r="47" spans="8:15" x14ac:dyDescent="0.2">
      <c r="H47" s="1"/>
      <c r="I47" s="1"/>
      <c r="J47" s="1"/>
      <c r="K47" s="1"/>
      <c r="L47" s="1"/>
      <c r="M47" s="1"/>
      <c r="N47" s="1"/>
      <c r="O47" s="1"/>
    </row>
    <row r="48" spans="8:15" x14ac:dyDescent="0.2">
      <c r="H48" s="1"/>
      <c r="I48" s="1"/>
      <c r="J48" s="1"/>
      <c r="K48" s="1"/>
      <c r="L48" s="1"/>
      <c r="M48" s="1"/>
      <c r="N48" s="1"/>
      <c r="O48" s="1"/>
    </row>
    <row r="49" spans="8:15" x14ac:dyDescent="0.2">
      <c r="H49" s="1"/>
      <c r="I49" s="1"/>
      <c r="J49" s="1"/>
      <c r="K49" s="1"/>
      <c r="L49" s="1"/>
      <c r="M49" s="1"/>
      <c r="N49" s="1"/>
      <c r="O49" s="1"/>
    </row>
    <row r="50" spans="8:15" x14ac:dyDescent="0.2">
      <c r="H50" s="1"/>
      <c r="I50" s="1"/>
      <c r="J50" s="1"/>
      <c r="K50" s="1"/>
      <c r="L50" s="1"/>
      <c r="M50" s="1"/>
      <c r="N50" s="1"/>
      <c r="O50" s="1"/>
    </row>
    <row r="51" spans="8:15" x14ac:dyDescent="0.2">
      <c r="H51" s="1"/>
      <c r="I51" s="1"/>
      <c r="J51" s="1"/>
      <c r="K51" s="1"/>
      <c r="L51" s="1"/>
      <c r="M51" s="1"/>
      <c r="N51" s="1"/>
      <c r="O51" s="1"/>
    </row>
    <row r="52" spans="8:15" x14ac:dyDescent="0.2">
      <c r="H52" s="1"/>
      <c r="I52" s="1"/>
      <c r="J52" s="1"/>
      <c r="K52" s="1"/>
      <c r="L52" s="1"/>
      <c r="M52" s="1"/>
      <c r="N52" s="1"/>
      <c r="O52" s="1"/>
    </row>
    <row r="53" spans="8:15" x14ac:dyDescent="0.2">
      <c r="H53" s="1"/>
      <c r="I53" s="1"/>
      <c r="J53" s="1"/>
      <c r="K53" s="1"/>
      <c r="L53" s="1"/>
      <c r="M53" s="1"/>
      <c r="N53" s="1"/>
      <c r="O53" s="1"/>
    </row>
    <row r="54" spans="8:15" x14ac:dyDescent="0.2">
      <c r="H54" s="1"/>
      <c r="I54" s="1"/>
      <c r="J54" s="1"/>
      <c r="K54" s="1"/>
      <c r="L54" s="1"/>
      <c r="M54" s="1"/>
      <c r="N54" s="1"/>
      <c r="O54" s="1"/>
    </row>
    <row r="55" spans="8:15" x14ac:dyDescent="0.2">
      <c r="H55" s="1"/>
      <c r="I55" s="1"/>
      <c r="J55" s="1"/>
      <c r="K55" s="1"/>
      <c r="L55" s="1"/>
      <c r="M55" s="1"/>
      <c r="N55" s="1"/>
      <c r="O55" s="1"/>
    </row>
    <row r="56" spans="8:15" x14ac:dyDescent="0.2">
      <c r="H56" s="1"/>
      <c r="I56" s="1"/>
      <c r="J56" s="1"/>
      <c r="K56" s="1"/>
      <c r="L56" s="1"/>
      <c r="M56" s="1"/>
      <c r="N56" s="1"/>
      <c r="O56" s="1"/>
    </row>
    <row r="57" spans="8:15" x14ac:dyDescent="0.2">
      <c r="H57" s="1"/>
      <c r="I57" s="1"/>
      <c r="J57" s="1"/>
      <c r="K57" s="1"/>
      <c r="L57" s="1"/>
    </row>
    <row r="58" spans="8:15" x14ac:dyDescent="0.2">
      <c r="H58" s="1"/>
      <c r="I58" s="1"/>
      <c r="J58" s="1"/>
      <c r="K58" s="1"/>
      <c r="L58" s="1"/>
    </row>
  </sheetData>
  <mergeCells count="2">
    <mergeCell ref="H40:I40"/>
    <mergeCell ref="K40:L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beauty products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Keerthiga E</dc:creator>
  <cp:lastModifiedBy>X</cp:lastModifiedBy>
  <dcterms:created xsi:type="dcterms:W3CDTF">2026-05-05T18:29:55Z</dcterms:created>
  <dcterms:modified xsi:type="dcterms:W3CDTF">2026-05-05T18:29:55Z</dcterms:modified>
</cp:coreProperties>
</file>